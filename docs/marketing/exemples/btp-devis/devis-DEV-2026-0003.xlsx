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Installation du chantier" sheetId="1" r:id="rId1"/>
    <sheet name="2 Terrassements" sheetId="2" r:id="rId2"/>
    <sheet name="3 Fondations et soubassement" sheetId="3" r:id="rId3"/>
    <sheet name="4 Élévation rez-de-chaussée" sheetId="4" r:id="rId4"/>
    <sheet name="5 Dalle haute rez-de-chaussée" sheetId="5" r:id="rId5"/>
    <sheet name="6 Élévation et dalle — étage co" sheetId="6" r:id="rId6"/>
    <sheet name="7 Toiture-terrasse et étanchéit" sheetId="7" r:id="rId7"/>
    <sheet name="8 Enduits et chapes" sheetId="8" r:id="rId8"/>
    <sheet name="9 Revêtements et peinture" sheetId="9" r:id="rId9"/>
    <sheet name="10 Menuiseries" sheetId="10" r:id="rId10"/>
    <sheet name="Récapitulatif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1 : Installation du chantier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Clôture de chantier en tôles</v>
      </c>
      <c r="C8" t="str">
        <v>ml</v>
      </c>
      <c r="D8" s="1">
        <v>86</v>
      </c>
      <c r="E8" s="1">
        <v>85000</v>
      </c>
      <c r="F8" s="1">
        <f>D8*E8</f>
        <v>7310000</v>
      </c>
    </row>
    <row r="9">
      <c r="A9">
        <v>2</v>
      </c>
      <c r="B9" t="str">
        <v>Baraque de chantier (bureau et magasin)</v>
      </c>
      <c r="C9" t="str">
        <v>ft</v>
      </c>
      <c r="D9" s="1">
        <v>1</v>
      </c>
      <c r="E9" s="1">
        <v>6500000</v>
      </c>
      <c r="F9" s="1">
        <f>D9*E9</f>
        <v>6500000</v>
      </c>
    </row>
    <row r="10">
      <c r="A10" t="str">
        <v>Sous-total Matériaux</v>
      </c>
      <c r="F10" s="1">
        <f>SUM(F8:F9)</f>
        <v>13810000</v>
      </c>
    </row>
    <row r="11">
      <c r="A11" t="str">
        <v>MATÉRIELS</v>
      </c>
    </row>
    <row r="12">
      <c r="A12">
        <v>3</v>
      </c>
      <c r="B12" t="str">
        <v>Transport de matériaux</v>
      </c>
      <c r="C12" t="str">
        <v>voyage</v>
      </c>
      <c r="D12" s="1">
        <v>4</v>
      </c>
      <c r="E12" s="1">
        <v>450000</v>
      </c>
      <c r="F12" s="1">
        <f>D12*E12</f>
        <v>1800000</v>
      </c>
    </row>
    <row r="13">
      <c r="A13" t="str">
        <v>Sous-total Matériels</v>
      </c>
      <c r="F13" s="1">
        <f>SUM(F12:F12)</f>
        <v>1800000</v>
      </c>
    </row>
    <row r="14">
      <c r="A14" t="str">
        <v>MAIN D'ŒUVRE</v>
      </c>
    </row>
    <row r="15">
      <c r="A15">
        <v>4</v>
      </c>
      <c r="B15" t="str">
        <v>Main d'œuvre</v>
      </c>
      <c r="C15" t="str">
        <v>ft</v>
      </c>
      <c r="D15" s="1">
        <v>1</v>
      </c>
      <c r="E15" s="1">
        <v>4500000</v>
      </c>
      <c r="F15" s="1">
        <f>D15*E15</f>
        <v>4500000</v>
      </c>
    </row>
    <row r="16">
      <c r="A16" t="str">
        <v>Sous-total Main d'œuvre</v>
      </c>
      <c r="F16" s="1">
        <f>SUM(F15:F15)</f>
        <v>4500000</v>
      </c>
    </row>
    <row r="17">
      <c r="A17" t="str">
        <v>SUIVI ET CONTRÔLE</v>
      </c>
    </row>
    <row r="18">
      <c r="A18">
        <v>5</v>
      </c>
      <c r="B18" t="str">
        <v>Suivi et contrôle du chantier</v>
      </c>
      <c r="C18" t="str">
        <v>ft</v>
      </c>
      <c r="D18" s="1">
        <v>1</v>
      </c>
      <c r="E18" s="1">
        <v>2500000</v>
      </c>
      <c r="F18" s="1">
        <f>D18*E18</f>
        <v>2500000</v>
      </c>
    </row>
    <row r="19">
      <c r="A19" t="str">
        <v>Sous-total Suivi et contrôle</v>
      </c>
      <c r="F19" s="1">
        <f>SUM(F18:F18)</f>
        <v>2500000</v>
      </c>
    </row>
    <row r="20">
      <c r="A20" t="str">
        <v>TOTAL INSTALLATION DU CHANTIER</v>
      </c>
      <c r="F20" s="1">
        <f>F10+F13+F16+F19</f>
        <v>22610000</v>
      </c>
    </row>
  </sheetData>
  <mergeCells count="13">
    <mergeCell ref="A1:F1"/>
    <mergeCell ref="A2:F2"/>
    <mergeCell ref="A3:F3"/>
    <mergeCell ref="A4:F4"/>
    <mergeCell ref="A7:F7"/>
    <mergeCell ref="A10:E10"/>
    <mergeCell ref="A11:F11"/>
    <mergeCell ref="A13:E13"/>
    <mergeCell ref="A14:F14"/>
    <mergeCell ref="A16:E16"/>
    <mergeCell ref="A17:F17"/>
    <mergeCell ref="A19:E19"/>
    <mergeCell ref="A20:E20"/>
  </mergeCells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2 : Terrassements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MATÉRIELS</v>
      </c>
    </row>
    <row r="8">
      <c r="A8">
        <v>1</v>
      </c>
      <c r="B8" t="str">
        <v>Location pelle hydraulique</v>
      </c>
      <c r="C8" t="str">
        <v>jour</v>
      </c>
      <c r="D8" s="1">
        <v>3</v>
      </c>
      <c r="E8" s="1">
        <v>3500000</v>
      </c>
      <c r="F8" s="1">
        <f>D8*E8</f>
        <v>10500000</v>
      </c>
    </row>
    <row r="9">
      <c r="A9">
        <v>2</v>
      </c>
      <c r="B9" t="str">
        <v>Transport de matériaux</v>
      </c>
      <c r="C9" t="str">
        <v>voyage</v>
      </c>
      <c r="D9" s="1">
        <v>14</v>
      </c>
      <c r="E9" s="1">
        <v>450000</v>
      </c>
      <c r="F9" s="1">
        <f>D9*E9</f>
        <v>6300000</v>
      </c>
    </row>
    <row r="10">
      <c r="A10" t="str">
        <v>Sous-total Matériels</v>
      </c>
      <c r="F10" s="1">
        <f>SUM(F8:F9)</f>
        <v>16800000</v>
      </c>
    </row>
    <row r="11">
      <c r="A11" t="str">
        <v>MAIN D'ŒUVRE</v>
      </c>
    </row>
    <row r="12">
      <c r="A12">
        <v>3</v>
      </c>
      <c r="B12" t="str">
        <v>Manœuvre</v>
      </c>
      <c r="C12" t="str">
        <v>jour</v>
      </c>
      <c r="D12" s="1">
        <v>45</v>
      </c>
      <c r="E12" s="1">
        <v>90000</v>
      </c>
      <c r="F12" s="1">
        <f>D12*E12</f>
        <v>4050000</v>
      </c>
    </row>
    <row r="13">
      <c r="A13" t="str">
        <v>Sous-total Main d'œuvre</v>
      </c>
      <c r="F13" s="1">
        <f>SUM(F12:F12)</f>
        <v>4050000</v>
      </c>
    </row>
    <row r="14">
      <c r="A14" t="str">
        <v>SUIVI ET CONTRÔLE</v>
      </c>
    </row>
    <row r="15">
      <c r="A15">
        <v>4</v>
      </c>
      <c r="B15" t="str">
        <v>Suivi et contrôle du chantier</v>
      </c>
      <c r="C15" t="str">
        <v>ft</v>
      </c>
      <c r="D15" s="1">
        <v>1</v>
      </c>
      <c r="E15" s="1">
        <v>1500000</v>
      </c>
      <c r="F15" s="1">
        <f>D15*E15</f>
        <v>1500000</v>
      </c>
    </row>
    <row r="16">
      <c r="A16" t="str">
        <v>Sous-total Suivi et contrôle</v>
      </c>
      <c r="F16" s="1">
        <f>SUM(F15:F15)</f>
        <v>1500000</v>
      </c>
    </row>
    <row r="17">
      <c r="A17" t="str">
        <v>TOTAL TERRASSEMENTS</v>
      </c>
      <c r="F17" s="1">
        <f>F10+F13+F16</f>
        <v>22350000</v>
      </c>
    </row>
  </sheetData>
  <mergeCells count="11">
    <mergeCell ref="A1:F1"/>
    <mergeCell ref="A2:F2"/>
    <mergeCell ref="A3:F3"/>
    <mergeCell ref="A4:F4"/>
    <mergeCell ref="A7:F7"/>
    <mergeCell ref="A10:E10"/>
    <mergeCell ref="A11:F11"/>
    <mergeCell ref="A13:E13"/>
    <mergeCell ref="A14:F14"/>
    <mergeCell ref="A16:E16"/>
    <mergeCell ref="A17:E17"/>
  </mergeCells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3 : Fondations et soubassement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Ciment CPJ 42.5 (sac de 50 kg)</v>
      </c>
      <c r="C8" t="str">
        <v>sac</v>
      </c>
      <c r="D8" s="1">
        <v>219</v>
      </c>
      <c r="E8" s="1">
        <v>95000</v>
      </c>
      <c r="F8" s="1">
        <f>D8*E8</f>
        <v>20805000</v>
      </c>
    </row>
    <row r="9">
      <c r="A9">
        <v>2</v>
      </c>
      <c r="B9" t="str">
        <v>Sable</v>
      </c>
      <c r="C9" t="str">
        <v>m³</v>
      </c>
      <c r="D9" s="1">
        <v>15</v>
      </c>
      <c r="E9" s="1">
        <v>180000</v>
      </c>
      <c r="F9" s="1">
        <f>D9*E9</f>
        <v>2700000</v>
      </c>
    </row>
    <row r="10">
      <c r="A10">
        <v>3</v>
      </c>
      <c r="B10" t="str">
        <v>Gravier</v>
      </c>
      <c r="C10" t="str">
        <v>m³</v>
      </c>
      <c r="D10" s="2">
        <v>24.6</v>
      </c>
      <c r="E10" s="1">
        <v>350000</v>
      </c>
      <c r="F10" s="1">
        <f>D10*E10</f>
        <v>8610000</v>
      </c>
    </row>
    <row r="11">
      <c r="A11">
        <v>4</v>
      </c>
      <c r="B11" t="str">
        <v>Fer HA6 (barre de 12 m)</v>
      </c>
      <c r="C11" t="str">
        <v>barre</v>
      </c>
      <c r="D11" s="1">
        <v>103</v>
      </c>
      <c r="E11" s="1">
        <v>35000</v>
      </c>
      <c r="F11" s="1">
        <f>D11*E11</f>
        <v>3605000</v>
      </c>
    </row>
    <row r="12">
      <c r="A12">
        <v>5</v>
      </c>
      <c r="B12" t="str">
        <v>Fer HA12 (barre de 12 m)</v>
      </c>
      <c r="C12" t="str">
        <v>barre</v>
      </c>
      <c r="D12" s="1">
        <v>170</v>
      </c>
      <c r="E12" s="1">
        <v>120000</v>
      </c>
      <c r="F12" s="1">
        <f>D12*E12</f>
        <v>20400000</v>
      </c>
    </row>
    <row r="13">
      <c r="A13">
        <v>6</v>
      </c>
      <c r="B13" t="str">
        <v>Fil à ligaturer</v>
      </c>
      <c r="C13" t="str">
        <v>kg</v>
      </c>
      <c r="D13" s="1">
        <v>21</v>
      </c>
      <c r="E13" s="1">
        <v>25000</v>
      </c>
      <c r="F13" s="1">
        <f>D13*E13</f>
        <v>525000</v>
      </c>
    </row>
    <row r="14">
      <c r="A14">
        <v>7</v>
      </c>
      <c r="B14" t="str">
        <v>Coffrage bois (surface à coffrer)</v>
      </c>
      <c r="C14" t="str">
        <v>m²</v>
      </c>
      <c r="D14" s="1">
        <v>164</v>
      </c>
      <c r="E14" s="1">
        <v>45000</v>
      </c>
      <c r="F14" s="1">
        <f>D14*E14</f>
        <v>7380000</v>
      </c>
    </row>
    <row r="15">
      <c r="A15">
        <v>8</v>
      </c>
      <c r="B15" t="str">
        <v>Agglos pleins 20</v>
      </c>
      <c r="C15" t="str">
        <v>u</v>
      </c>
      <c r="D15" s="1">
        <v>1239</v>
      </c>
      <c r="E15" s="1">
        <v>9000</v>
      </c>
      <c r="F15" s="1">
        <f>D15*E15</f>
        <v>11151000</v>
      </c>
    </row>
    <row r="16">
      <c r="A16" t="str">
        <v>Sous-total Matériaux</v>
      </c>
      <c r="F16" s="1">
        <f>SUM(F8:F15)</f>
        <v>75176000</v>
      </c>
    </row>
    <row r="17">
      <c r="A17" t="str">
        <v>MATÉRIELS</v>
      </c>
    </row>
    <row r="18">
      <c r="A18">
        <v>9</v>
      </c>
      <c r="B18" t="str">
        <v>Location bétonnière</v>
      </c>
      <c r="C18" t="str">
        <v>jour</v>
      </c>
      <c r="D18" s="1">
        <v>12</v>
      </c>
      <c r="E18" s="1">
        <v>350000</v>
      </c>
      <c r="F18" s="1">
        <f>D18*E18</f>
        <v>4200000</v>
      </c>
    </row>
    <row r="19">
      <c r="A19">
        <v>10</v>
      </c>
      <c r="B19" t="str">
        <v>Location vibrateur</v>
      </c>
      <c r="C19" t="str">
        <v>jour</v>
      </c>
      <c r="D19" s="1">
        <v>8</v>
      </c>
      <c r="E19" s="1">
        <v>150000</v>
      </c>
      <c r="F19" s="1">
        <f>D19*E19</f>
        <v>1200000</v>
      </c>
    </row>
    <row r="20">
      <c r="A20" t="str">
        <v>Sous-total Matériels</v>
      </c>
      <c r="F20" s="1">
        <f>SUM(F18:F19)</f>
        <v>5400000</v>
      </c>
    </row>
    <row r="21">
      <c r="A21" t="str">
        <v>MAIN D'ŒUVRE</v>
      </c>
    </row>
    <row r="22">
      <c r="A22">
        <v>11</v>
      </c>
      <c r="B22" t="str">
        <v>Main d'œuvre qualifiée (maçon, ferrailleur)</v>
      </c>
      <c r="C22" t="str">
        <v>jour</v>
      </c>
      <c r="D22" s="1">
        <v>60</v>
      </c>
      <c r="E22" s="1">
        <v>150000</v>
      </c>
      <c r="F22" s="1">
        <f>D22*E22</f>
        <v>9000000</v>
      </c>
    </row>
    <row r="23">
      <c r="A23">
        <v>12</v>
      </c>
      <c r="B23" t="str">
        <v>Manœuvre</v>
      </c>
      <c r="C23" t="str">
        <v>jour</v>
      </c>
      <c r="D23" s="1">
        <v>90</v>
      </c>
      <c r="E23" s="1">
        <v>90000</v>
      </c>
      <c r="F23" s="1">
        <f>D23*E23</f>
        <v>8100000</v>
      </c>
    </row>
    <row r="24">
      <c r="A24" t="str">
        <v>Sous-total Main d'œuvre</v>
      </c>
      <c r="F24" s="1">
        <f>SUM(F22:F23)</f>
        <v>17100000</v>
      </c>
    </row>
    <row r="25">
      <c r="A25" t="str">
        <v>SUIVI ET CONTRÔLE</v>
      </c>
    </row>
    <row r="26">
      <c r="A26">
        <v>13</v>
      </c>
      <c r="B26" t="str">
        <v>Suivi et contrôle du chantier</v>
      </c>
      <c r="C26" t="str">
        <v>ft</v>
      </c>
      <c r="D26" s="1">
        <v>1</v>
      </c>
      <c r="E26" s="1">
        <v>3500000</v>
      </c>
      <c r="F26" s="1">
        <f>D26*E26</f>
        <v>3500000</v>
      </c>
    </row>
    <row r="27">
      <c r="A27" t="str">
        <v>Sous-total Suivi et contrôle</v>
      </c>
      <c r="F27" s="1">
        <f>SUM(F26:F26)</f>
        <v>3500000</v>
      </c>
    </row>
    <row r="28">
      <c r="A28" t="str">
        <v>TOTAL FONDATIONS ET SOUBASSEMENT</v>
      </c>
      <c r="F28" s="1">
        <f>F16+F20+F24+F27</f>
        <v>101176000</v>
      </c>
    </row>
  </sheetData>
  <mergeCells count="13">
    <mergeCell ref="A1:F1"/>
    <mergeCell ref="A2:F2"/>
    <mergeCell ref="A3:F3"/>
    <mergeCell ref="A4:F4"/>
    <mergeCell ref="A7:F7"/>
    <mergeCell ref="A16:E16"/>
    <mergeCell ref="A17:F17"/>
    <mergeCell ref="A20:E20"/>
    <mergeCell ref="A21:F21"/>
    <mergeCell ref="A24:E24"/>
    <mergeCell ref="A25:F25"/>
    <mergeCell ref="A27:E27"/>
    <mergeCell ref="A28:E28"/>
  </mergeCells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4 : Élévation rez-de-chaussée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Ciment CPJ 42.5 (sac de 50 kg)</v>
      </c>
      <c r="C8" t="str">
        <v>sac</v>
      </c>
      <c r="D8" s="1">
        <v>85</v>
      </c>
      <c r="E8" s="1">
        <v>95000</v>
      </c>
      <c r="F8" s="1">
        <f>D8*E8</f>
        <v>8075000</v>
      </c>
    </row>
    <row r="9">
      <c r="A9">
        <v>2</v>
      </c>
      <c r="B9" t="str">
        <v>Sable</v>
      </c>
      <c r="C9" t="str">
        <v>m³</v>
      </c>
      <c r="D9" s="2">
        <v>7.8</v>
      </c>
      <c r="E9" s="1">
        <v>180000</v>
      </c>
      <c r="F9" s="1">
        <f>D9*E9</f>
        <v>1404000</v>
      </c>
    </row>
    <row r="10">
      <c r="A10">
        <v>3</v>
      </c>
      <c r="B10" t="str">
        <v>Gravier</v>
      </c>
      <c r="C10" t="str">
        <v>m³</v>
      </c>
      <c r="D10" s="1">
        <v>7</v>
      </c>
      <c r="E10" s="1">
        <v>350000</v>
      </c>
      <c r="F10" s="1">
        <f>D10*E10</f>
        <v>2450000</v>
      </c>
    </row>
    <row r="11">
      <c r="A11">
        <v>4</v>
      </c>
      <c r="B11" t="str">
        <v>Fer HA6 (barre de 12 m)</v>
      </c>
      <c r="C11" t="str">
        <v>barre</v>
      </c>
      <c r="D11" s="1">
        <v>89</v>
      </c>
      <c r="E11" s="1">
        <v>35000</v>
      </c>
      <c r="F11" s="1">
        <f>D11*E11</f>
        <v>3115000</v>
      </c>
    </row>
    <row r="12">
      <c r="A12">
        <v>5</v>
      </c>
      <c r="B12" t="str">
        <v>Fer HA10 (barre de 12 m)</v>
      </c>
      <c r="C12" t="str">
        <v>barre</v>
      </c>
      <c r="D12" s="1">
        <v>43</v>
      </c>
      <c r="E12" s="1">
        <v>85000</v>
      </c>
      <c r="F12" s="1">
        <f>D12*E12</f>
        <v>3655000</v>
      </c>
    </row>
    <row r="13">
      <c r="A13">
        <v>6</v>
      </c>
      <c r="B13" t="str">
        <v>Fer HA12 (barre de 12 m)</v>
      </c>
      <c r="C13" t="str">
        <v>barre</v>
      </c>
      <c r="D13" s="1">
        <v>38</v>
      </c>
      <c r="E13" s="1">
        <v>120000</v>
      </c>
      <c r="F13" s="1">
        <f>D13*E13</f>
        <v>4560000</v>
      </c>
    </row>
    <row r="14">
      <c r="A14">
        <v>7</v>
      </c>
      <c r="B14" t="str">
        <v>Fil à ligaturer</v>
      </c>
      <c r="C14" t="str">
        <v>kg</v>
      </c>
      <c r="D14" s="1">
        <v>10</v>
      </c>
      <c r="E14" s="1">
        <v>25000</v>
      </c>
      <c r="F14" s="1">
        <f>D14*E14</f>
        <v>250000</v>
      </c>
    </row>
    <row r="15">
      <c r="A15">
        <v>8</v>
      </c>
      <c r="B15" t="str">
        <v>Coffrage bois (surface à coffrer)</v>
      </c>
      <c r="C15" t="str">
        <v>m²</v>
      </c>
      <c r="D15" s="1">
        <v>106</v>
      </c>
      <c r="E15" s="1">
        <v>45000</v>
      </c>
      <c r="F15" s="1">
        <f>D15*E15</f>
        <v>4770000</v>
      </c>
    </row>
    <row r="16">
      <c r="A16">
        <v>9</v>
      </c>
      <c r="B16" t="str">
        <v>Agglos creux 10</v>
      </c>
      <c r="C16" t="str">
        <v>u</v>
      </c>
      <c r="D16" s="1">
        <v>1743</v>
      </c>
      <c r="E16" s="1">
        <v>4500</v>
      </c>
      <c r="F16" s="1">
        <f>D16*E16</f>
        <v>7843500</v>
      </c>
    </row>
    <row r="17">
      <c r="A17">
        <v>10</v>
      </c>
      <c r="B17" t="str">
        <v>Agglos creux 15</v>
      </c>
      <c r="C17" t="str">
        <v>u</v>
      </c>
      <c r="D17" s="1">
        <v>2077</v>
      </c>
      <c r="E17" s="1">
        <v>5500</v>
      </c>
      <c r="F17" s="1">
        <f>D17*E17</f>
        <v>11423500</v>
      </c>
    </row>
    <row r="18">
      <c r="A18" t="str">
        <v>Sous-total Matériaux</v>
      </c>
      <c r="F18" s="1">
        <f>SUM(F8:F17)</f>
        <v>47546000</v>
      </c>
    </row>
    <row r="19">
      <c r="A19" t="str">
        <v>MATÉRIELS</v>
      </c>
    </row>
    <row r="20">
      <c r="A20">
        <v>11</v>
      </c>
      <c r="B20" t="str">
        <v>Location bétonnière</v>
      </c>
      <c r="C20" t="str">
        <v>jour</v>
      </c>
      <c r="D20" s="1">
        <v>8</v>
      </c>
      <c r="E20" s="1">
        <v>350000</v>
      </c>
      <c r="F20" s="1">
        <f>D20*E20</f>
        <v>2800000</v>
      </c>
    </row>
    <row r="21">
      <c r="A21" t="str">
        <v>Sous-total Matériels</v>
      </c>
      <c r="F21" s="1">
        <f>SUM(F20:F20)</f>
        <v>2800000</v>
      </c>
    </row>
    <row r="22">
      <c r="A22" t="str">
        <v>MAIN D'ŒUVRE</v>
      </c>
    </row>
    <row r="23">
      <c r="A23">
        <v>12</v>
      </c>
      <c r="B23" t="str">
        <v>Main d'œuvre qualifiée (maçon, ferrailleur)</v>
      </c>
      <c r="C23" t="str">
        <v>jour</v>
      </c>
      <c r="D23" s="1">
        <v>55</v>
      </c>
      <c r="E23" s="1">
        <v>150000</v>
      </c>
      <c r="F23" s="1">
        <f>D23*E23</f>
        <v>8250000</v>
      </c>
    </row>
    <row r="24">
      <c r="A24">
        <v>13</v>
      </c>
      <c r="B24" t="str">
        <v>Manœuvre</v>
      </c>
      <c r="C24" t="str">
        <v>jour</v>
      </c>
      <c r="D24" s="1">
        <v>70</v>
      </c>
      <c r="E24" s="1">
        <v>90000</v>
      </c>
      <c r="F24" s="1">
        <f>D24*E24</f>
        <v>6300000</v>
      </c>
    </row>
    <row r="25">
      <c r="A25" t="str">
        <v>Sous-total Main d'œuvre</v>
      </c>
      <c r="F25" s="1">
        <f>SUM(F23:F24)</f>
        <v>14550000</v>
      </c>
    </row>
    <row r="26">
      <c r="A26" t="str">
        <v>SUIVI ET CONTRÔLE</v>
      </c>
    </row>
    <row r="27">
      <c r="A27">
        <v>14</v>
      </c>
      <c r="B27" t="str">
        <v>Suivi et contrôle du chantier</v>
      </c>
      <c r="C27" t="str">
        <v>ft</v>
      </c>
      <c r="D27" s="1">
        <v>1</v>
      </c>
      <c r="E27" s="1">
        <v>2500000</v>
      </c>
      <c r="F27" s="1">
        <f>D27*E27</f>
        <v>2500000</v>
      </c>
    </row>
    <row r="28">
      <c r="A28" t="str">
        <v>Sous-total Suivi et contrôle</v>
      </c>
      <c r="F28" s="1">
        <f>SUM(F27:F27)</f>
        <v>2500000</v>
      </c>
    </row>
    <row r="29">
      <c r="A29" t="str">
        <v>TOTAL ÉLÉVATION REZ-DE-CHAUSSÉE</v>
      </c>
      <c r="F29" s="1">
        <f>F18+F21+F25+F28</f>
        <v>67396000</v>
      </c>
    </row>
  </sheetData>
  <mergeCells count="13">
    <mergeCell ref="A1:F1"/>
    <mergeCell ref="A2:F2"/>
    <mergeCell ref="A3:F3"/>
    <mergeCell ref="A4:F4"/>
    <mergeCell ref="A7:F7"/>
    <mergeCell ref="A18:E18"/>
    <mergeCell ref="A19:F19"/>
    <mergeCell ref="A21:E21"/>
    <mergeCell ref="A22:F22"/>
    <mergeCell ref="A25:E25"/>
    <mergeCell ref="A26:F26"/>
    <mergeCell ref="A28:E28"/>
    <mergeCell ref="A29:E29"/>
  </mergeCells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5 : Dalle haute rez-de-chaussée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Ciment CPJ 42.5 (sac de 50 kg)</v>
      </c>
      <c r="C8" t="str">
        <v>sac</v>
      </c>
      <c r="D8" s="1">
        <v>299</v>
      </c>
      <c r="E8" s="1">
        <v>95000</v>
      </c>
      <c r="F8" s="1">
        <f>D8*E8</f>
        <v>28405000</v>
      </c>
    </row>
    <row r="9">
      <c r="A9">
        <v>2</v>
      </c>
      <c r="B9" t="str">
        <v>Sable</v>
      </c>
      <c r="C9" t="str">
        <v>m³</v>
      </c>
      <c r="D9" s="2">
        <v>17.1</v>
      </c>
      <c r="E9" s="1">
        <v>180000</v>
      </c>
      <c r="F9" s="1">
        <f>D9*E9</f>
        <v>3078000.0000000005</v>
      </c>
    </row>
    <row r="10">
      <c r="A10">
        <v>3</v>
      </c>
      <c r="B10" t="str">
        <v>Gravier</v>
      </c>
      <c r="C10" t="str">
        <v>m³</v>
      </c>
      <c r="D10" s="2">
        <v>34.2</v>
      </c>
      <c r="E10" s="1">
        <v>350000</v>
      </c>
      <c r="F10" s="1">
        <f>D10*E10</f>
        <v>11970000.000000002</v>
      </c>
    </row>
    <row r="11">
      <c r="A11">
        <v>4</v>
      </c>
      <c r="B11" t="str">
        <v>Fer HA6 (barre de 12 m)</v>
      </c>
      <c r="C11" t="str">
        <v>barre</v>
      </c>
      <c r="D11" s="1">
        <v>108</v>
      </c>
      <c r="E11" s="1">
        <v>35000</v>
      </c>
      <c r="F11" s="1">
        <f>D11*E11</f>
        <v>3780000</v>
      </c>
    </row>
    <row r="12">
      <c r="A12">
        <v>5</v>
      </c>
      <c r="B12" t="str">
        <v>Fer HA8 (barre de 12 m)</v>
      </c>
      <c r="C12" t="str">
        <v>barre</v>
      </c>
      <c r="D12" s="1">
        <v>184</v>
      </c>
      <c r="E12" s="1">
        <v>55000</v>
      </c>
      <c r="F12" s="1">
        <f>D12*E12</f>
        <v>10120000</v>
      </c>
    </row>
    <row r="13">
      <c r="A13">
        <v>6</v>
      </c>
      <c r="B13" t="str">
        <v>Fer HA10 (barre de 12 m)</v>
      </c>
      <c r="C13" t="str">
        <v>barre</v>
      </c>
      <c r="D13" s="1">
        <v>275</v>
      </c>
      <c r="E13" s="1">
        <v>85000</v>
      </c>
      <c r="F13" s="1">
        <f>D13*E13</f>
        <v>23375000</v>
      </c>
    </row>
    <row r="14">
      <c r="A14">
        <v>7</v>
      </c>
      <c r="B14" t="str">
        <v>Fer HA12 (barre de 12 m)</v>
      </c>
      <c r="C14" t="str">
        <v>barre</v>
      </c>
      <c r="D14" s="1">
        <v>81</v>
      </c>
      <c r="E14" s="1">
        <v>120000</v>
      </c>
      <c r="F14" s="1">
        <f>D14*E14</f>
        <v>9720000</v>
      </c>
    </row>
    <row r="15">
      <c r="A15">
        <v>8</v>
      </c>
      <c r="B15" t="str">
        <v>Fil à ligaturer</v>
      </c>
      <c r="C15" t="str">
        <v>kg</v>
      </c>
      <c r="D15" s="1">
        <v>41</v>
      </c>
      <c r="E15" s="1">
        <v>25000</v>
      </c>
      <c r="F15" s="1">
        <f>D15*E15</f>
        <v>1025000</v>
      </c>
    </row>
    <row r="16">
      <c r="A16">
        <v>9</v>
      </c>
      <c r="B16" t="str">
        <v>Coffrage bois (surface à coffrer)</v>
      </c>
      <c r="C16" t="str">
        <v>m²</v>
      </c>
      <c r="D16" s="1">
        <v>313</v>
      </c>
      <c r="E16" s="1">
        <v>45000</v>
      </c>
      <c r="F16" s="1">
        <f>D16*E16</f>
        <v>14085000</v>
      </c>
    </row>
    <row r="17">
      <c r="A17" t="str">
        <v>Sous-total Matériaux</v>
      </c>
      <c r="F17" s="1">
        <f>SUM(F8:F16)</f>
        <v>105558000</v>
      </c>
    </row>
    <row r="18">
      <c r="A18" t="str">
        <v>MATÉRIELS</v>
      </c>
    </row>
    <row r="19">
      <c r="A19">
        <v>10</v>
      </c>
      <c r="B19" t="str">
        <v>Location bétonnière</v>
      </c>
      <c r="C19" t="str">
        <v>jour</v>
      </c>
      <c r="D19" s="1">
        <v>4</v>
      </c>
      <c r="E19" s="1">
        <v>350000</v>
      </c>
      <c r="F19" s="1">
        <f>D19*E19</f>
        <v>1400000</v>
      </c>
    </row>
    <row r="20">
      <c r="A20">
        <v>11</v>
      </c>
      <c r="B20" t="str">
        <v>Location vibrateur</v>
      </c>
      <c r="C20" t="str">
        <v>jour</v>
      </c>
      <c r="D20" s="1">
        <v>4</v>
      </c>
      <c r="E20" s="1">
        <v>150000</v>
      </c>
      <c r="F20" s="1">
        <f>D20*E20</f>
        <v>600000</v>
      </c>
    </row>
    <row r="21">
      <c r="A21" t="str">
        <v>Sous-total Matériels</v>
      </c>
      <c r="F21" s="1">
        <f>SUM(F19:F20)</f>
        <v>2000000</v>
      </c>
    </row>
    <row r="22">
      <c r="A22" t="str">
        <v>MAIN D'ŒUVRE</v>
      </c>
    </row>
    <row r="23">
      <c r="A23">
        <v>12</v>
      </c>
      <c r="B23" t="str">
        <v>Main d'œuvre qualifiée (maçon, ferrailleur)</v>
      </c>
      <c r="C23" t="str">
        <v>jour</v>
      </c>
      <c r="D23" s="1">
        <v>40</v>
      </c>
      <c r="E23" s="1">
        <v>150000</v>
      </c>
      <c r="F23" s="1">
        <f>D23*E23</f>
        <v>6000000</v>
      </c>
    </row>
    <row r="24">
      <c r="A24">
        <v>13</v>
      </c>
      <c r="B24" t="str">
        <v>Manœuvre</v>
      </c>
      <c r="C24" t="str">
        <v>jour</v>
      </c>
      <c r="D24" s="1">
        <v>60</v>
      </c>
      <c r="E24" s="1">
        <v>90000</v>
      </c>
      <c r="F24" s="1">
        <f>D24*E24</f>
        <v>5400000</v>
      </c>
    </row>
    <row r="25">
      <c r="A25" t="str">
        <v>Sous-total Main d'œuvre</v>
      </c>
      <c r="F25" s="1">
        <f>SUM(F23:F24)</f>
        <v>11400000</v>
      </c>
    </row>
    <row r="26">
      <c r="A26" t="str">
        <v>SUIVI ET CONTRÔLE</v>
      </c>
    </row>
    <row r="27">
      <c r="A27">
        <v>14</v>
      </c>
      <c r="B27" t="str">
        <v>Suivi et contrôle du chantier</v>
      </c>
      <c r="C27" t="str">
        <v>ft</v>
      </c>
      <c r="D27" s="1">
        <v>1</v>
      </c>
      <c r="E27" s="1">
        <v>2000000</v>
      </c>
      <c r="F27" s="1">
        <f>D27*E27</f>
        <v>2000000</v>
      </c>
    </row>
    <row r="28">
      <c r="A28" t="str">
        <v>Sous-total Suivi et contrôle</v>
      </c>
      <c r="F28" s="1">
        <f>SUM(F27:F27)</f>
        <v>2000000</v>
      </c>
    </row>
    <row r="29">
      <c r="A29" t="str">
        <v>TOTAL DALLE HAUTE REZ-DE-CHAUSSÉE</v>
      </c>
      <c r="F29" s="1">
        <f>F17+F21+F25+F28</f>
        <v>120958000</v>
      </c>
    </row>
  </sheetData>
  <mergeCells count="13">
    <mergeCell ref="A1:F1"/>
    <mergeCell ref="A2:F2"/>
    <mergeCell ref="A3:F3"/>
    <mergeCell ref="A4:F4"/>
    <mergeCell ref="A7:F7"/>
    <mergeCell ref="A17:E17"/>
    <mergeCell ref="A18:F18"/>
    <mergeCell ref="A21:E21"/>
    <mergeCell ref="A22:F22"/>
    <mergeCell ref="A25:E25"/>
    <mergeCell ref="A26:F26"/>
    <mergeCell ref="A28:E28"/>
    <mergeCell ref="A29:E29"/>
  </mergeCells>
  <ignoredErrors>
    <ignoredError numberStoredAsText="1" sqref="A1:F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6 : Élévation et dalle — étage courant (R+1, R+2)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Ciment CPJ 42.5 (sac de 50 kg)</v>
      </c>
      <c r="C8" t="str">
        <v>sac</v>
      </c>
      <c r="D8" s="1">
        <v>384</v>
      </c>
      <c r="E8" s="1">
        <v>95000</v>
      </c>
      <c r="F8" s="1">
        <f>D8*E8</f>
        <v>36480000</v>
      </c>
    </row>
    <row r="9">
      <c r="A9">
        <v>2</v>
      </c>
      <c r="B9" t="str">
        <v>Sable</v>
      </c>
      <c r="C9" t="str">
        <v>m³</v>
      </c>
      <c r="D9" s="2">
        <v>24.9</v>
      </c>
      <c r="E9" s="1">
        <v>180000</v>
      </c>
      <c r="F9" s="1">
        <f>D9*E9</f>
        <v>4482000</v>
      </c>
    </row>
    <row r="10">
      <c r="A10">
        <v>3</v>
      </c>
      <c r="B10" t="str">
        <v>Gravier</v>
      </c>
      <c r="C10" t="str">
        <v>m³</v>
      </c>
      <c r="D10" s="2">
        <v>41.2</v>
      </c>
      <c r="E10" s="1">
        <v>350000</v>
      </c>
      <c r="F10" s="1">
        <f>D10*E10</f>
        <v>14420000.000000002</v>
      </c>
    </row>
    <row r="11">
      <c r="A11">
        <v>4</v>
      </c>
      <c r="B11" t="str">
        <v>Fer HA6 (barre de 12 m)</v>
      </c>
      <c r="C11" t="str">
        <v>barre</v>
      </c>
      <c r="D11" s="1">
        <v>196</v>
      </c>
      <c r="E11" s="1">
        <v>35000</v>
      </c>
      <c r="F11" s="1">
        <f>D11*E11</f>
        <v>6860000</v>
      </c>
    </row>
    <row r="12">
      <c r="A12">
        <v>5</v>
      </c>
      <c r="B12" t="str">
        <v>Fer HA8 (barre de 12 m)</v>
      </c>
      <c r="C12" t="str">
        <v>barre</v>
      </c>
      <c r="D12" s="1">
        <v>184</v>
      </c>
      <c r="E12" s="1">
        <v>55000</v>
      </c>
      <c r="F12" s="1">
        <f>D12*E12</f>
        <v>10120000</v>
      </c>
    </row>
    <row r="13">
      <c r="A13">
        <v>6</v>
      </c>
      <c r="B13" t="str">
        <v>Fer HA10 (barre de 12 m)</v>
      </c>
      <c r="C13" t="str">
        <v>barre</v>
      </c>
      <c r="D13" s="1">
        <v>319</v>
      </c>
      <c r="E13" s="1">
        <v>85000</v>
      </c>
      <c r="F13" s="1">
        <f>D13*E13</f>
        <v>27115000</v>
      </c>
    </row>
    <row r="14">
      <c r="A14">
        <v>7</v>
      </c>
      <c r="B14" t="str">
        <v>Fer HA12 (barre de 12 m)</v>
      </c>
      <c r="C14" t="str">
        <v>barre</v>
      </c>
      <c r="D14" s="1">
        <v>117</v>
      </c>
      <c r="E14" s="1">
        <v>120000</v>
      </c>
      <c r="F14" s="1">
        <f>D14*E14</f>
        <v>14040000</v>
      </c>
    </row>
    <row r="15">
      <c r="A15">
        <v>8</v>
      </c>
      <c r="B15" t="str">
        <v>Fil à ligaturer</v>
      </c>
      <c r="C15" t="str">
        <v>kg</v>
      </c>
      <c r="D15" s="1">
        <v>50</v>
      </c>
      <c r="E15" s="1">
        <v>25000</v>
      </c>
      <c r="F15" s="1">
        <f>D15*E15</f>
        <v>1250000</v>
      </c>
    </row>
    <row r="16">
      <c r="A16">
        <v>9</v>
      </c>
      <c r="B16" t="str">
        <v>Coffrage bois (surface à coffrer)</v>
      </c>
      <c r="C16" t="str">
        <v>m²</v>
      </c>
      <c r="D16" s="1">
        <v>419</v>
      </c>
      <c r="E16" s="1">
        <v>45000</v>
      </c>
      <c r="F16" s="1">
        <f>D16*E16</f>
        <v>18855000</v>
      </c>
    </row>
    <row r="17">
      <c r="A17">
        <v>10</v>
      </c>
      <c r="B17" t="str">
        <v>Agglos creux 10</v>
      </c>
      <c r="C17" t="str">
        <v>u</v>
      </c>
      <c r="D17" s="1">
        <v>1812</v>
      </c>
      <c r="E17" s="1">
        <v>4500</v>
      </c>
      <c r="F17" s="1">
        <f>D17*E17</f>
        <v>8154000</v>
      </c>
    </row>
    <row r="18">
      <c r="A18">
        <v>11</v>
      </c>
      <c r="B18" t="str">
        <v>Agglos creux 15</v>
      </c>
      <c r="C18" t="str">
        <v>u</v>
      </c>
      <c r="D18" s="1">
        <v>2048</v>
      </c>
      <c r="E18" s="1">
        <v>5500</v>
      </c>
      <c r="F18" s="1">
        <f>D18*E18</f>
        <v>11264000</v>
      </c>
    </row>
    <row r="19">
      <c r="A19" t="str">
        <v>Sous-total Matériaux</v>
      </c>
      <c r="F19" s="1">
        <f>SUM(F8:F18)</f>
        <v>153040000</v>
      </c>
    </row>
    <row r="20">
      <c r="A20" t="str">
        <v>MATÉRIELS</v>
      </c>
    </row>
    <row r="21">
      <c r="A21">
        <v>12</v>
      </c>
      <c r="B21" t="str">
        <v>Location bétonnière</v>
      </c>
      <c r="C21" t="str">
        <v>jour</v>
      </c>
      <c r="D21" s="1">
        <v>10</v>
      </c>
      <c r="E21" s="1">
        <v>350000</v>
      </c>
      <c r="F21" s="1">
        <f>D21*E21</f>
        <v>3500000</v>
      </c>
    </row>
    <row r="22">
      <c r="A22" t="str">
        <v>Sous-total Matériels</v>
      </c>
      <c r="F22" s="1">
        <f>SUM(F21:F21)</f>
        <v>3500000</v>
      </c>
    </row>
    <row r="23">
      <c r="A23" t="str">
        <v>MAIN D'ŒUVRE</v>
      </c>
    </row>
    <row r="24">
      <c r="A24">
        <v>13</v>
      </c>
      <c r="B24" t="str">
        <v>Main d'œuvre qualifiée (maçon, ferrailleur)</v>
      </c>
      <c r="C24" t="str">
        <v>jour</v>
      </c>
      <c r="D24" s="1">
        <v>90</v>
      </c>
      <c r="E24" s="1">
        <v>150000</v>
      </c>
      <c r="F24" s="1">
        <f>D24*E24</f>
        <v>13500000</v>
      </c>
    </row>
    <row r="25">
      <c r="A25">
        <v>14</v>
      </c>
      <c r="B25" t="str">
        <v>Manœuvre</v>
      </c>
      <c r="C25" t="str">
        <v>jour</v>
      </c>
      <c r="D25" s="1">
        <v>120</v>
      </c>
      <c r="E25" s="1">
        <v>90000</v>
      </c>
      <c r="F25" s="1">
        <f>D25*E25</f>
        <v>10800000</v>
      </c>
    </row>
    <row r="26">
      <c r="A26" t="str">
        <v>Sous-total Main d'œuvre</v>
      </c>
      <c r="F26" s="1">
        <f>SUM(F24:F25)</f>
        <v>24300000</v>
      </c>
    </row>
    <row r="27">
      <c r="A27" t="str">
        <v>SUIVI ET CONTRÔLE</v>
      </c>
    </row>
    <row r="28">
      <c r="A28">
        <v>15</v>
      </c>
      <c r="B28" t="str">
        <v>Suivi et contrôle du chantier</v>
      </c>
      <c r="C28" t="str">
        <v>ft</v>
      </c>
      <c r="D28" s="1">
        <v>1</v>
      </c>
      <c r="E28" s="1">
        <v>4000000</v>
      </c>
      <c r="F28" s="1">
        <f>D28*E28</f>
        <v>4000000</v>
      </c>
    </row>
    <row r="29">
      <c r="A29" t="str">
        <v>Sous-total Suivi et contrôle</v>
      </c>
      <c r="F29" s="1">
        <f>SUM(F28:F28)</f>
        <v>4000000</v>
      </c>
    </row>
    <row r="30">
      <c r="A30" t="str">
        <v>TOTAL ÉLÉVATION ET DALLE — ÉTAGE COURANT (R+1, R+2)</v>
      </c>
      <c r="F30" s="1">
        <f>F19+F22+F26+F29</f>
        <v>184840000</v>
      </c>
    </row>
  </sheetData>
  <mergeCells count="13">
    <mergeCell ref="A1:F1"/>
    <mergeCell ref="A2:F2"/>
    <mergeCell ref="A3:F3"/>
    <mergeCell ref="A4:F4"/>
    <mergeCell ref="A7:F7"/>
    <mergeCell ref="A19:E19"/>
    <mergeCell ref="A20:F20"/>
    <mergeCell ref="A22:E22"/>
    <mergeCell ref="A23:F23"/>
    <mergeCell ref="A26:E26"/>
    <mergeCell ref="A27:F27"/>
    <mergeCell ref="A29:E29"/>
    <mergeCell ref="A30:E30"/>
  </mergeCells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7 : Toiture-terrasse et étanchéité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Forme de pente en béton léger</v>
      </c>
      <c r="C8" t="str">
        <v>m²</v>
      </c>
      <c r="D8" s="1">
        <v>192</v>
      </c>
      <c r="E8" s="1">
        <v>65000</v>
      </c>
      <c r="F8" s="1">
        <f>D8*E8</f>
        <v>12480000</v>
      </c>
    </row>
    <row r="9">
      <c r="A9">
        <v>2</v>
      </c>
      <c r="B9" t="str">
        <v>Étanchéité multicouche autoprotégée</v>
      </c>
      <c r="C9" t="str">
        <v>m²</v>
      </c>
      <c r="D9" s="1">
        <v>205</v>
      </c>
      <c r="E9" s="1">
        <v>185000</v>
      </c>
      <c r="F9" s="1">
        <f>D9*E9</f>
        <v>37925000</v>
      </c>
    </row>
    <row r="10">
      <c r="A10">
        <v>3</v>
      </c>
      <c r="B10" t="str">
        <v>Acrotère et relevés d’étanchéité</v>
      </c>
      <c r="C10" t="str">
        <v>ml</v>
      </c>
      <c r="D10" s="1">
        <v>56</v>
      </c>
      <c r="E10" s="1">
        <v>145000</v>
      </c>
      <c r="F10" s="1">
        <f>D10*E10</f>
        <v>8120000</v>
      </c>
    </row>
    <row r="11">
      <c r="A11">
        <v>4</v>
      </c>
      <c r="B11" t="str">
        <v>Descentes d’eaux pluviales PVC Ø100</v>
      </c>
      <c r="C11" t="str">
        <v>ml</v>
      </c>
      <c r="D11" s="1">
        <v>40</v>
      </c>
      <c r="E11" s="1">
        <v>95000</v>
      </c>
      <c r="F11" s="1">
        <f>D11*E11</f>
        <v>3800000</v>
      </c>
    </row>
    <row r="12">
      <c r="A12" t="str">
        <v>Sous-total Matériaux</v>
      </c>
      <c r="F12" s="1">
        <f>SUM(F8:F11)</f>
        <v>62325000</v>
      </c>
    </row>
    <row r="13">
      <c r="A13" t="str">
        <v>MAIN D'ŒUVRE</v>
      </c>
    </row>
    <row r="14">
      <c r="A14">
        <v>5</v>
      </c>
      <c r="B14" t="str">
        <v>Main d'œuvre</v>
      </c>
      <c r="C14" t="str">
        <v>ft</v>
      </c>
      <c r="D14" s="1">
        <v>1</v>
      </c>
      <c r="E14" s="1">
        <v>9500000</v>
      </c>
      <c r="F14" s="1">
        <f>D14*E14</f>
        <v>9500000</v>
      </c>
    </row>
    <row r="15">
      <c r="A15" t="str">
        <v>Sous-total Main d'œuvre</v>
      </c>
      <c r="F15" s="1">
        <f>SUM(F14:F14)</f>
        <v>9500000</v>
      </c>
    </row>
    <row r="16">
      <c r="A16" t="str">
        <v>SUIVI ET CONTRÔLE</v>
      </c>
    </row>
    <row r="17">
      <c r="A17">
        <v>6</v>
      </c>
      <c r="B17" t="str">
        <v>Suivi et contrôle du chantier</v>
      </c>
      <c r="C17" t="str">
        <v>ft</v>
      </c>
      <c r="D17" s="1">
        <v>1</v>
      </c>
      <c r="E17" s="1">
        <v>1500000</v>
      </c>
      <c r="F17" s="1">
        <f>D17*E17</f>
        <v>1500000</v>
      </c>
    </row>
    <row r="18">
      <c r="A18" t="str">
        <v>Sous-total Suivi et contrôle</v>
      </c>
      <c r="F18" s="1">
        <f>SUM(F17:F17)</f>
        <v>1500000</v>
      </c>
    </row>
    <row r="19">
      <c r="A19" t="str">
        <v>TOTAL TOITURE-TERRASSE ET ÉTANCHÉITÉ</v>
      </c>
      <c r="F19" s="1">
        <f>F12+F15+F18</f>
        <v>73325000</v>
      </c>
    </row>
  </sheetData>
  <mergeCells count="11">
    <mergeCell ref="A1:F1"/>
    <mergeCell ref="A2:F2"/>
    <mergeCell ref="A3:F3"/>
    <mergeCell ref="A4:F4"/>
    <mergeCell ref="A7:F7"/>
    <mergeCell ref="A12:E12"/>
    <mergeCell ref="A13:F13"/>
    <mergeCell ref="A15:E15"/>
    <mergeCell ref="A16:F16"/>
    <mergeCell ref="A18:E18"/>
    <mergeCell ref="A19:E19"/>
  </mergeCells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8 : Enduits et chapes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Ciment CPJ 42.5 (sac de 50 kg)</v>
      </c>
      <c r="C8" t="str">
        <v>sac</v>
      </c>
      <c r="D8" s="1">
        <v>379</v>
      </c>
      <c r="E8" s="1">
        <v>95000</v>
      </c>
      <c r="F8" s="1">
        <f>D8*E8</f>
        <v>36005000</v>
      </c>
    </row>
    <row r="9">
      <c r="A9">
        <v>2</v>
      </c>
      <c r="B9" t="str">
        <v>Sable</v>
      </c>
      <c r="C9" t="str">
        <v>m³</v>
      </c>
      <c r="D9" s="2">
        <v>59.6</v>
      </c>
      <c r="E9" s="1">
        <v>180000</v>
      </c>
      <c r="F9" s="1">
        <f>D9*E9</f>
        <v>10728000</v>
      </c>
    </row>
    <row r="10">
      <c r="A10" t="str">
        <v>Sous-total Matériaux</v>
      </c>
      <c r="F10" s="1">
        <f>SUM(F8:F9)</f>
        <v>46733000</v>
      </c>
    </row>
    <row r="11">
      <c r="A11" t="str">
        <v>MAIN D'ŒUVRE</v>
      </c>
    </row>
    <row r="12">
      <c r="A12">
        <v>3</v>
      </c>
      <c r="B12" t="str">
        <v>Main d'œuvre qualifiée (maçon, ferrailleur)</v>
      </c>
      <c r="C12" t="str">
        <v>jour</v>
      </c>
      <c r="D12" s="1">
        <v>110</v>
      </c>
      <c r="E12" s="1">
        <v>150000</v>
      </c>
      <c r="F12" s="1">
        <f>D12*E12</f>
        <v>16500000</v>
      </c>
    </row>
    <row r="13">
      <c r="A13">
        <v>4</v>
      </c>
      <c r="B13" t="str">
        <v>Manœuvre</v>
      </c>
      <c r="C13" t="str">
        <v>jour</v>
      </c>
      <c r="D13" s="1">
        <v>110</v>
      </c>
      <c r="E13" s="1">
        <v>90000</v>
      </c>
      <c r="F13" s="1">
        <f>D13*E13</f>
        <v>9900000</v>
      </c>
    </row>
    <row r="14">
      <c r="A14" t="str">
        <v>Sous-total Main d'œuvre</v>
      </c>
      <c r="F14" s="1">
        <f>SUM(F12:F13)</f>
        <v>26400000</v>
      </c>
    </row>
    <row r="15">
      <c r="A15" t="str">
        <v>SUIVI ET CONTRÔLE</v>
      </c>
    </row>
    <row r="16">
      <c r="A16">
        <v>5</v>
      </c>
      <c r="B16" t="str">
        <v>Suivi et contrôle du chantier</v>
      </c>
      <c r="C16" t="str">
        <v>ft</v>
      </c>
      <c r="D16" s="1">
        <v>1</v>
      </c>
      <c r="E16" s="1">
        <v>2500000</v>
      </c>
      <c r="F16" s="1">
        <f>D16*E16</f>
        <v>2500000</v>
      </c>
    </row>
    <row r="17">
      <c r="A17" t="str">
        <v>Sous-total Suivi et contrôle</v>
      </c>
      <c r="F17" s="1">
        <f>SUM(F16:F16)</f>
        <v>2500000</v>
      </c>
    </row>
    <row r="18">
      <c r="A18" t="str">
        <v>TOTAL ENDUITS ET CHAPES</v>
      </c>
      <c r="F18" s="1">
        <f>F10+F14+F17</f>
        <v>75633000</v>
      </c>
    </row>
  </sheetData>
  <mergeCells count="11">
    <mergeCell ref="A1:F1"/>
    <mergeCell ref="A2:F2"/>
    <mergeCell ref="A3:F3"/>
    <mergeCell ref="A4:F4"/>
    <mergeCell ref="A7:F7"/>
    <mergeCell ref="A10:E10"/>
    <mergeCell ref="A11:F11"/>
    <mergeCell ref="A14:E14"/>
    <mergeCell ref="A15:F15"/>
    <mergeCell ref="A17:E17"/>
    <mergeCell ref="A18:E18"/>
  </mergeCells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9 : Revêtements et peinture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Ciment CPJ 42.5 (sac de 50 kg)</v>
      </c>
      <c r="C8" t="str">
        <v>sac</v>
      </c>
      <c r="D8" s="1">
        <v>112</v>
      </c>
      <c r="E8" s="1">
        <v>95000</v>
      </c>
      <c r="F8" s="1">
        <f>D8*E8</f>
        <v>10640000</v>
      </c>
    </row>
    <row r="9">
      <c r="A9">
        <v>2</v>
      </c>
      <c r="B9" t="str">
        <v>Sable</v>
      </c>
      <c r="C9" t="str">
        <v>m³</v>
      </c>
      <c r="D9" s="2">
        <v>20.5</v>
      </c>
      <c r="E9" s="1">
        <v>180000</v>
      </c>
      <c r="F9" s="1">
        <f>D9*E9</f>
        <v>3690000</v>
      </c>
    </row>
    <row r="10">
      <c r="A10">
        <v>3</v>
      </c>
      <c r="B10" t="str">
        <v>Carreaux</v>
      </c>
      <c r="C10" t="str">
        <v>m²</v>
      </c>
      <c r="D10" s="1">
        <v>651</v>
      </c>
      <c r="E10" s="1">
        <v>120000</v>
      </c>
      <c r="F10" s="1">
        <f>D10*E10</f>
        <v>78120000</v>
      </c>
    </row>
    <row r="11">
      <c r="A11">
        <v>4</v>
      </c>
      <c r="B11" t="str">
        <v>Ciment blanc (joints)</v>
      </c>
      <c r="C11" t="str">
        <v>kg</v>
      </c>
      <c r="D11" s="1">
        <v>326</v>
      </c>
      <c r="E11" s="1">
        <v>12000</v>
      </c>
      <c r="F11" s="1">
        <f>D11*E11</f>
        <v>3912000</v>
      </c>
    </row>
    <row r="12">
      <c r="A12">
        <v>5</v>
      </c>
      <c r="B12" t="str">
        <v>Peinture d'impression</v>
      </c>
      <c r="C12" t="str">
        <v>L</v>
      </c>
      <c r="D12" s="1">
        <v>226</v>
      </c>
      <c r="E12" s="1">
        <v>45000</v>
      </c>
      <c r="F12" s="1">
        <f>D12*E12</f>
        <v>10170000</v>
      </c>
    </row>
    <row r="13">
      <c r="A13">
        <v>6</v>
      </c>
      <c r="B13" t="str">
        <v>Peinture de finition</v>
      </c>
      <c r="C13" t="str">
        <v>L</v>
      </c>
      <c r="D13" s="1">
        <v>452</v>
      </c>
      <c r="E13" s="1">
        <v>65000</v>
      </c>
      <c r="F13" s="1">
        <f>D13*E13</f>
        <v>29380000</v>
      </c>
    </row>
    <row r="14">
      <c r="A14" t="str">
        <v>Sous-total Matériaux</v>
      </c>
      <c r="F14" s="1">
        <f>SUM(F8:F13)</f>
        <v>135912000</v>
      </c>
    </row>
    <row r="15">
      <c r="A15" t="str">
        <v>MAIN D'ŒUVRE</v>
      </c>
    </row>
    <row r="16">
      <c r="A16">
        <v>7</v>
      </c>
      <c r="B16" t="str">
        <v>Main d'œuvre qualifiée (maçon, ferrailleur)</v>
      </c>
      <c r="C16" t="str">
        <v>jour</v>
      </c>
      <c r="D16" s="1">
        <v>95</v>
      </c>
      <c r="E16" s="1">
        <v>150000</v>
      </c>
      <c r="F16" s="1">
        <f>D16*E16</f>
        <v>14250000</v>
      </c>
    </row>
    <row r="17">
      <c r="A17">
        <v>8</v>
      </c>
      <c r="B17" t="str">
        <v>Manœuvre</v>
      </c>
      <c r="C17" t="str">
        <v>jour</v>
      </c>
      <c r="D17" s="1">
        <v>60</v>
      </c>
      <c r="E17" s="1">
        <v>90000</v>
      </c>
      <c r="F17" s="1">
        <f>D17*E17</f>
        <v>5400000</v>
      </c>
    </row>
    <row r="18">
      <c r="A18" t="str">
        <v>Sous-total Main d'œuvre</v>
      </c>
      <c r="F18" s="1">
        <f>SUM(F16:F17)</f>
        <v>19650000</v>
      </c>
    </row>
    <row r="19">
      <c r="A19" t="str">
        <v>SUIVI ET CONTRÔLE</v>
      </c>
    </row>
    <row r="20">
      <c r="A20">
        <v>9</v>
      </c>
      <c r="B20" t="str">
        <v>Suivi et contrôle du chantier</v>
      </c>
      <c r="C20" t="str">
        <v>ft</v>
      </c>
      <c r="D20" s="1">
        <v>1</v>
      </c>
      <c r="E20" s="1">
        <v>2000000</v>
      </c>
      <c r="F20" s="1">
        <f>D20*E20</f>
        <v>2000000</v>
      </c>
    </row>
    <row r="21">
      <c r="A21" t="str">
        <v>Sous-total Suivi et contrôle</v>
      </c>
      <c r="F21" s="1">
        <f>SUM(F20:F20)</f>
        <v>2000000</v>
      </c>
    </row>
    <row r="22">
      <c r="A22" t="str">
        <v>TOTAL REVÊTEMENTS ET PEINTURE</v>
      </c>
      <c r="F22" s="1">
        <f>F14+F18+F21</f>
        <v>157562000</v>
      </c>
    </row>
  </sheetData>
  <mergeCells count="11">
    <mergeCell ref="A1:F1"/>
    <mergeCell ref="A2:F2"/>
    <mergeCell ref="A3:F3"/>
    <mergeCell ref="A4:F4"/>
    <mergeCell ref="A7:F7"/>
    <mergeCell ref="A14:E14"/>
    <mergeCell ref="A15:F15"/>
    <mergeCell ref="A18:E18"/>
    <mergeCell ref="A19:F19"/>
    <mergeCell ref="A21:E21"/>
    <mergeCell ref="A22:E22"/>
  </mergeCells>
  <ignoredErrors>
    <ignoredError numberStoredAsText="1" sqref="A1:F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Lot 10 : Menuiseries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 t="str">
        <v>MATÉRIAUX</v>
      </c>
    </row>
    <row r="8">
      <c r="A8">
        <v>1</v>
      </c>
      <c r="B8" t="str">
        <v>Porte d’entrée blindée 100 x 220</v>
      </c>
      <c r="C8" t="str">
        <v>u</v>
      </c>
      <c r="D8" s="1">
        <v>2</v>
      </c>
      <c r="E8" s="1">
        <v>6500000</v>
      </c>
      <c r="F8" s="1">
        <f>D8*E8</f>
        <v>13000000</v>
      </c>
    </row>
    <row r="9">
      <c r="A9">
        <v>2</v>
      </c>
      <c r="B9" t="str">
        <v>Portes intérieures isoplanes 80 x 210</v>
      </c>
      <c r="C9" t="str">
        <v>u</v>
      </c>
      <c r="D9" s="1">
        <v>18</v>
      </c>
      <c r="E9" s="1">
        <v>1450000</v>
      </c>
      <c r="F9" s="1">
        <f>D9*E9</f>
        <v>26100000</v>
      </c>
    </row>
    <row r="10">
      <c r="A10">
        <v>3</v>
      </c>
      <c r="B10" t="str">
        <v>Fenêtres aluminium vitrées 120 x 120</v>
      </c>
      <c r="C10" t="str">
        <v>u</v>
      </c>
      <c r="D10" s="1">
        <v>24</v>
      </c>
      <c r="E10" s="1">
        <v>2350000</v>
      </c>
      <c r="F10" s="1">
        <f>D10*E10</f>
        <v>56400000</v>
      </c>
    </row>
    <row r="11">
      <c r="A11">
        <v>4</v>
      </c>
      <c r="B11" t="str">
        <v>Baies coulissantes aluminium 240 x 220</v>
      </c>
      <c r="C11" t="str">
        <v>u</v>
      </c>
      <c r="D11" s="1">
        <v>6</v>
      </c>
      <c r="E11" s="1">
        <v>5800000</v>
      </c>
      <c r="F11" s="1">
        <f>D11*E11</f>
        <v>34800000</v>
      </c>
    </row>
    <row r="12">
      <c r="A12">
        <v>5</v>
      </c>
      <c r="B12" t="str">
        <v>Garde-corps métalliques balcons</v>
      </c>
      <c r="C12" t="str">
        <v>ml</v>
      </c>
      <c r="D12" s="1">
        <v>28</v>
      </c>
      <c r="E12" s="1">
        <v>650000</v>
      </c>
      <c r="F12" s="1">
        <f>D12*E12</f>
        <v>18200000</v>
      </c>
    </row>
    <row r="13">
      <c r="A13" t="str">
        <v>Sous-total Matériaux</v>
      </c>
      <c r="F13" s="1">
        <f>SUM(F8:F12)</f>
        <v>148500000</v>
      </c>
    </row>
    <row r="14">
      <c r="A14" t="str">
        <v>MAIN D'ŒUVRE</v>
      </c>
    </row>
    <row r="15">
      <c r="A15">
        <v>6</v>
      </c>
      <c r="B15" t="str">
        <v>Main d'œuvre</v>
      </c>
      <c r="C15" t="str">
        <v>ft</v>
      </c>
      <c r="D15" s="1">
        <v>1</v>
      </c>
      <c r="E15" s="1">
        <v>8500000</v>
      </c>
      <c r="F15" s="1">
        <f>D15*E15</f>
        <v>8500000</v>
      </c>
    </row>
    <row r="16">
      <c r="A16" t="str">
        <v>Sous-total Main d'œuvre</v>
      </c>
      <c r="F16" s="1">
        <f>SUM(F15:F15)</f>
        <v>8500000</v>
      </c>
    </row>
    <row r="17">
      <c r="A17" t="str">
        <v>TOTAL MENUISERIES</v>
      </c>
      <c r="F17" s="1">
        <f>F13+F16</f>
        <v>157000000</v>
      </c>
    </row>
  </sheetData>
  <mergeCells count="9">
    <mergeCell ref="A1:F1"/>
    <mergeCell ref="A2:F2"/>
    <mergeCell ref="A3:F3"/>
    <mergeCell ref="A4:F4"/>
    <mergeCell ref="A7:F7"/>
    <mergeCell ref="A13:E13"/>
    <mergeCell ref="A14:F14"/>
    <mergeCell ref="A16:E16"/>
    <mergeCell ref="A17:E17"/>
  </mergeCells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2.83203125" customWidth="1"/>
    <col min="5" max="5" width="16.83203125" customWidth="1"/>
    <col min="6" max="6" width="18.83203125" customWidth="1"/>
  </cols>
  <sheetData>
    <row r="1">
      <c r="A1" t="str">
        <v>Bâtir Guinée SARL</v>
      </c>
    </row>
    <row r="2">
      <c r="A2" t="str">
        <v>Construction d'un immeuble d'habitation R+2 à Nongo</v>
      </c>
    </row>
    <row r="3">
      <c r="A3" t="str">
        <v>Gros œuvre, second œuvre et finitions — 3 niveaux de 180 m²</v>
      </c>
    </row>
    <row r="4">
      <c r="A4" t="str">
        <v>Devis N° DEV-2026-0003 — Récapitulatif</v>
      </c>
    </row>
    <row r="6">
      <c r="A6" t="str">
        <v>N°</v>
      </c>
      <c r="B6" t="str">
        <v>Désignation</v>
      </c>
      <c r="C6" t="str">
        <v>Unité</v>
      </c>
      <c r="D6" t="str">
        <v>Quantité</v>
      </c>
      <c r="E6" t="str">
        <v>PU (GNF)</v>
      </c>
      <c r="F6" t="str">
        <v>Montant (GNF)</v>
      </c>
    </row>
    <row r="7">
      <c r="A7">
        <v>1</v>
      </c>
      <c r="B7" t="str">
        <v>Installation du chantier</v>
      </c>
      <c r="C7" t="str">
        <v>ens</v>
      </c>
      <c r="D7" s="1">
        <v>1</v>
      </c>
      <c r="E7" s="1">
        <f>'1 Installation du chantier'!F20</f>
        <v>22610000</v>
      </c>
      <c r="F7" s="1">
        <f>D7*E7</f>
        <v>22610000</v>
      </c>
    </row>
    <row r="8">
      <c r="A8">
        <v>2</v>
      </c>
      <c r="B8" t="str">
        <v>Terrassements</v>
      </c>
      <c r="C8" t="str">
        <v>ens</v>
      </c>
      <c r="D8" s="1">
        <v>1</v>
      </c>
      <c r="E8" s="1">
        <f>'2 Terrassements'!F17</f>
        <v>22350000</v>
      </c>
      <c r="F8" s="1">
        <f>D8*E8</f>
        <v>22350000</v>
      </c>
    </row>
    <row r="9">
      <c r="A9">
        <v>3</v>
      </c>
      <c r="B9" t="str">
        <v>Fondations et soubassement</v>
      </c>
      <c r="C9" t="str">
        <v>ens</v>
      </c>
      <c r="D9" s="1">
        <v>1</v>
      </c>
      <c r="E9" s="1">
        <f>'3 Fondations et soubassement'!F28</f>
        <v>101176000</v>
      </c>
      <c r="F9" s="1">
        <f>D9*E9</f>
        <v>101176000</v>
      </c>
    </row>
    <row r="10">
      <c r="A10">
        <v>4</v>
      </c>
      <c r="B10" t="str">
        <v>Élévation rez-de-chaussée</v>
      </c>
      <c r="C10" t="str">
        <v>ens</v>
      </c>
      <c r="D10" s="1">
        <v>1</v>
      </c>
      <c r="E10" s="1">
        <f>'4 Élévation rez-de-chaussée'!F29</f>
        <v>67396000</v>
      </c>
      <c r="F10" s="1">
        <f>D10*E10</f>
        <v>67396000</v>
      </c>
    </row>
    <row r="11">
      <c r="A11">
        <v>5</v>
      </c>
      <c r="B11" t="str">
        <v>Dalle haute rez-de-chaussée</v>
      </c>
      <c r="C11" t="str">
        <v>ens</v>
      </c>
      <c r="D11" s="1">
        <v>1</v>
      </c>
      <c r="E11" s="1">
        <f>'5 Dalle haute rez-de-chaussée'!F29</f>
        <v>120958000</v>
      </c>
      <c r="F11" s="1">
        <f>D11*E11</f>
        <v>120958000</v>
      </c>
    </row>
    <row r="12">
      <c r="A12">
        <v>6</v>
      </c>
      <c r="B12" t="str">
        <v>Élévation et dalle — étage courant (R+1, R+2)</v>
      </c>
      <c r="C12" t="str">
        <v>niveau</v>
      </c>
      <c r="D12" s="1">
        <v>2</v>
      </c>
      <c r="E12" s="1">
        <f>'6 Élévation et dalle — étage co'!F30</f>
        <v>184840000</v>
      </c>
      <c r="F12" s="1">
        <f>D12*E12</f>
        <v>369680000</v>
      </c>
    </row>
    <row r="13">
      <c r="A13">
        <v>7</v>
      </c>
      <c r="B13" t="str">
        <v>Toiture-terrasse et étanchéité</v>
      </c>
      <c r="C13" t="str">
        <v>ens</v>
      </c>
      <c r="D13" s="1">
        <v>1</v>
      </c>
      <c r="E13" s="1">
        <f>'7 Toiture-terrasse et étanchéit'!F19</f>
        <v>73325000</v>
      </c>
      <c r="F13" s="1">
        <f>D13*E13</f>
        <v>73325000</v>
      </c>
    </row>
    <row r="14">
      <c r="A14">
        <v>8</v>
      </c>
      <c r="B14" t="str">
        <v>Enduits et chapes</v>
      </c>
      <c r="C14" t="str">
        <v>ens</v>
      </c>
      <c r="D14" s="1">
        <v>1</v>
      </c>
      <c r="E14" s="1">
        <f>'8 Enduits et chapes'!F18</f>
        <v>75633000</v>
      </c>
      <c r="F14" s="1">
        <f>D14*E14</f>
        <v>75633000</v>
      </c>
    </row>
    <row r="15">
      <c r="A15">
        <v>9</v>
      </c>
      <c r="B15" t="str">
        <v>Revêtements et peinture</v>
      </c>
      <c r="C15" t="str">
        <v>ens</v>
      </c>
      <c r="D15" s="1">
        <v>1</v>
      </c>
      <c r="E15" s="1">
        <f>'9 Revêtements et peinture'!F22</f>
        <v>157562000</v>
      </c>
      <c r="F15" s="1">
        <f>D15*E15</f>
        <v>157562000</v>
      </c>
    </row>
    <row r="16">
      <c r="A16">
        <v>10</v>
      </c>
      <c r="B16" t="str">
        <v>Menuiseries</v>
      </c>
      <c r="C16" t="str">
        <v>ens</v>
      </c>
      <c r="D16" s="1">
        <v>1</v>
      </c>
      <c r="E16" s="1">
        <f>'10 Menuiseries'!F17</f>
        <v>157000000</v>
      </c>
      <c r="F16" s="1">
        <f>D16*E16</f>
        <v>157000000</v>
      </c>
    </row>
    <row r="17">
      <c r="A17">
        <v>11</v>
      </c>
      <c r="B17" t="str">
        <v>Plomberie sanitaire (réseaux, appareils, fosse septique)</v>
      </c>
      <c r="C17" t="str">
        <v>fft</v>
      </c>
      <c r="D17" s="1">
        <v>1</v>
      </c>
      <c r="E17" s="1">
        <v>285000000</v>
      </c>
      <c r="F17" s="1">
        <f>D17*E17</f>
        <v>285000000</v>
      </c>
    </row>
    <row r="18">
      <c r="A18">
        <v>12</v>
      </c>
      <c r="B18" t="str">
        <v>Électricité (courants forts et faibles, tableau, mise à la terre)</v>
      </c>
      <c r="C18" t="str">
        <v>fft</v>
      </c>
      <c r="D18" s="1">
        <v>1</v>
      </c>
      <c r="E18" s="1">
        <v>240000000</v>
      </c>
      <c r="F18" s="1">
        <f>D18*E18</f>
        <v>240000000</v>
      </c>
    </row>
    <row r="19">
      <c r="A19">
        <v>13</v>
      </c>
      <c r="B19" t="str">
        <v>Travaux divers et imprévus</v>
      </c>
      <c r="C19" t="str">
        <v>fft</v>
      </c>
      <c r="D19" s="1">
        <v>1</v>
      </c>
      <c r="E19" s="1">
        <v>120000000</v>
      </c>
      <c r="F19" s="1">
        <f>D19*E19</f>
        <v>120000000</v>
      </c>
    </row>
    <row r="20">
      <c r="A20" t="str">
        <v>TOTAL HT</v>
      </c>
      <c r="F20" s="1">
        <f>SUM(F7:F19)</f>
        <v>1812690000</v>
      </c>
    </row>
    <row r="21">
      <c r="A21" t="str">
        <v>TVA</v>
      </c>
      <c r="E21" s="3">
        <v>0.18</v>
      </c>
      <c r="F21" s="1">
        <f>F20*E21</f>
        <v>326284200</v>
      </c>
    </row>
    <row r="22">
      <c r="A22" t="str">
        <v>TOTAL TTC</v>
      </c>
      <c r="F22" s="1">
        <f>F20+F21</f>
        <v>2138974200</v>
      </c>
    </row>
  </sheetData>
  <mergeCells count="7">
    <mergeCell ref="A1:F1"/>
    <mergeCell ref="A2:F2"/>
    <mergeCell ref="A3:F3"/>
    <mergeCell ref="A4:F4"/>
    <mergeCell ref="A20:E20"/>
    <mergeCell ref="A21:D21"/>
    <mergeCell ref="A22:E22"/>
  </mergeCells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 Installation du chantier</vt:lpstr>
      <vt:lpstr>2 Terrassements</vt:lpstr>
      <vt:lpstr>3 Fondations et soubassement</vt:lpstr>
      <vt:lpstr>4 Élévation rez-de-chaussée</vt:lpstr>
      <vt:lpstr>5 Dalle haute rez-de-chaussée</vt:lpstr>
      <vt:lpstr>6 Élévation et dalle — étage co</vt:lpstr>
      <vt:lpstr>7 Toiture-terrasse et étanchéit</vt:lpstr>
      <vt:lpstr>8 Enduits et chapes</vt:lpstr>
      <vt:lpstr>9 Revêtements et peinture</vt:lpstr>
      <vt:lpstr>10 Menuiseries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