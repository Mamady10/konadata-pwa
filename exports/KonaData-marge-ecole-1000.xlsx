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èle" state="visible" r:id="rId4"/>
  </sheets>
  <calcPr calcId="171027"/>
</workbook>
</file>

<file path=xl/sharedStrings.xml><?xml version="1.0" encoding="utf-8"?>
<sst xmlns="http://schemas.openxmlformats.org/spreadsheetml/2006/main" count="45" uniqueCount="45">
  <si>
    <t>KonaData — Marge mensuelle : école de 1 000 élèves</t>
  </si>
  <si>
    <t>Modifiez les cellules bleues (hypothèses). Les montants et la marge se recalculent automatiquement.</t>
  </si>
  <si>
    <t>PARAMÈTRES</t>
  </si>
  <si>
    <t>Revenu abonnement (GNF/mois)</t>
  </si>
  <si>
    <t>Nombre d'élèves</t>
  </si>
  <si>
    <t>Messages / élève / mois</t>
  </si>
  <si>
    <t>Part WhatsApp (%)</t>
  </si>
  <si>
    <t>Coût WhatsApp (GNF/msg)</t>
  </si>
  <si>
    <t>Coût SMS (GNF/msg)</t>
  </si>
  <si>
    <t>Infrastructure (GNF/mois)</t>
  </si>
  <si>
    <t>IA / rapports (GNF/mois)</t>
  </si>
  <si>
    <t>Assistance (GNF/mois)</t>
  </si>
  <si>
    <t>Frais de paiement (%)</t>
  </si>
  <si>
    <t>DÉTAIL DES CHARGES</t>
  </si>
  <si>
    <t>Poste</t>
  </si>
  <si>
    <t>Montant / mois</t>
  </si>
  <si>
    <t>% du revenu</t>
  </si>
  <si>
    <t>Détail</t>
  </si>
  <si>
    <t>Messagerie WhatsApp</t>
  </si>
  <si>
    <t>Messagerie SMS</t>
  </si>
  <si>
    <t>Infrastructure</t>
  </si>
  <si>
    <t>Supabase, hébergement, stockage (quote-part)</t>
  </si>
  <si>
    <t>IA (rapports)</t>
  </si>
  <si>
    <t>Génération de rapports / assistant (quote-part)</t>
  </si>
  <si>
    <t>Assistance</t>
  </si>
  <si>
    <t>Support &amp; accompagnement (quote-part)</t>
  </si>
  <si>
    <t>Frais de paiement</t>
  </si>
  <si>
    <t>Charges totales</t>
  </si>
  <si>
    <t>Revenu abonnement</t>
  </si>
  <si>
    <t>RÉSULTAT NET KONADATA</t>
  </si>
  <si>
    <t>Marge nette</t>
  </si>
  <si>
    <t>VOLUME DE MESSAGES</t>
  </si>
  <si>
    <t>Total messages / mois</t>
  </si>
  <si>
    <t>dont WhatsApp</t>
  </si>
  <si>
    <t>dont SMS</t>
  </si>
  <si>
    <t>SCÉNARIOS (mix de canaux)</t>
  </si>
  <si>
    <t>Scénario</t>
  </si>
  <si>
    <t>Messagerie</t>
  </si>
  <si>
    <t>Résultat net</t>
  </si>
  <si>
    <t>Marge</t>
  </si>
  <si>
    <t>100 % WhatsApp</t>
  </si>
  <si>
    <t>Mix actuel (paramètres ci-dessus)</t>
  </si>
  <si>
    <t>100 % SMS</t>
  </si>
  <si>
    <t>Sources : SMS API Orange Guinée ≈ 150 GNF/SMS ; WhatsApp Business (Meta) facturé au message modèle, messages de service et modèles utilitaires gratuits dans la fenêtre de conversation.</t>
  </si>
  <si>
    <t>Note : 1 500 000 GNF = tarif d'entrée de gamme. Une école de 1 000 élèves peut justifier un palier supérieur (composante par élève), augmentant la marge. Infra/IA/assistance sont des quote-parts mutualisées.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</si>
</sst>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 GNF&quot;"/>
    <numFmt numFmtId="165" formatCode="0.0%"/>
  </numFmts>
  <fonts count="12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4748B"/>
      <sz val="10"/>
    </font>
    <font>
      <b/>
      <color rgb="FF2563EB"/>
      <sz val="11"/>
    </font>
    <font>
      <sz val="11"/>
    </font>
    <font>
      <b/>
    </font>
    <font>
      <b/>
      <sz val="10"/>
    </font>
    <font>
      <color rgb="FF64748B"/>
      <sz val="9"/>
    </font>
    <font>
      <b/>
      <sz val="11"/>
    </font>
    <font>
      <b/>
      <sz val="12"/>
    </font>
    <font>
      <b/>
      <color rgb="FF059669"/>
      <sz val="12"/>
    </font>
    <font>
      <i/>
      <color rgb="FF64748B"/>
      <sz val="9"/>
    </font>
  </fonts>
  <fills count="5">
    <fill>
      <patternFill patternType="none"/>
    </fill>
    <fill>
      <patternFill patternType="gray125"/>
    </fill>
    <fill>
      <patternFill patternType="solid">
        <fgColor rgb="FF0A192F"/>
      </patternFill>
    </fill>
    <fill>
      <patternFill patternType="solid">
        <fgColor rgb="FFEAF1FF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165" fontId="5" fillId="3" borderId="1" xfId="0" applyNumberFormat="1" applyFont="1" applyFill="1" applyBorder="1" applyAlignment="1">
      <alignment horizontal="right"/>
    </xf>
    <xf numFmtId="0" fontId="6" fillId="4" borderId="2" xfId="0" applyFont="1" applyFill="1" applyBorder="1"/>
    <xf numFmtId="0" fontId="6" fillId="4" borderId="2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7" fillId="0" borderId="0" xfId="0" applyFont="1"/>
    <xf numFmtId="0" fontId="8" fillId="4" borderId="3" xfId="0" applyFont="1" applyFill="1" applyBorder="1" applyAlignment="1">
      <alignment vertical="center"/>
    </xf>
    <xf numFmtId="164" fontId="5" fillId="4" borderId="3" xfId="0" applyNumberFormat="1" applyFont="1" applyFill="1" applyBorder="1" applyAlignment="1">
      <alignment horizontal="right"/>
    </xf>
    <xf numFmtId="165" fontId="5" fillId="4" borderId="3" xfId="0" applyNumberFormat="1" applyFont="1" applyFill="1" applyBorder="1" applyAlignment="1">
      <alignment horizontal="right"/>
    </xf>
    <xf numFmtId="0" fontId="0" fillId="4" borderId="3" xfId="0" applyFill="1" applyBorder="1"/>
    <xf numFmtId="0" fontId="9" fillId="0" borderId="0" xfId="0" applyFont="1" applyAlignment="1">
      <alignment vertical="center"/>
    </xf>
    <xf numFmtId="164" fontId="10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6" fillId="4" borderId="0" xfId="0" applyFont="1" applyFill="1"/>
    <xf numFmtId="0" fontId="6" fillId="4" borderId="0" xfId="0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4" customWidth="1"/>
    <col min="3" max="3" width="20" customWidth="1"/>
    <col min="4" max="4" width="14" customWidth="1"/>
    <col min="5" max="5" width="40" customWidth="1"/>
  </cols>
  <sheetData>
    <row r="1" ht="26" customHeight="1" spans="2:5" x14ac:dyDescent="0.25">
      <c r="B1" s="1" t="s">
        <v>0</v>
      </c>
      <c r="C1" s="1"/>
      <c r="D1" s="1"/>
      <c r="E1" s="1"/>
    </row>
    <row r="2" spans="2:5" x14ac:dyDescent="0.25">
      <c r="B2" s="2" t="s">
        <v>1</v>
      </c>
      <c r="C2" s="2"/>
      <c r="D2" s="2"/>
      <c r="E2" s="2"/>
    </row>
    <row r="4" spans="2:2" x14ac:dyDescent="0.25">
      <c r="B4" s="3" t="s">
        <v>2</v>
      </c>
    </row>
    <row r="5" spans="2:3" x14ac:dyDescent="0.25">
      <c r="B5" s="4" t="s">
        <v>3</v>
      </c>
      <c r="C5" s="5">
        <v>1500000</v>
      </c>
    </row>
    <row r="6" spans="2:3" x14ac:dyDescent="0.25">
      <c r="B6" s="4" t="s">
        <v>4</v>
      </c>
      <c r="C6" s="6">
        <v>1000</v>
      </c>
    </row>
    <row r="7" spans="2:3" x14ac:dyDescent="0.25">
      <c r="B7" s="4" t="s">
        <v>5</v>
      </c>
      <c r="C7" s="6">
        <v>5</v>
      </c>
    </row>
    <row r="8" spans="2:3" x14ac:dyDescent="0.25">
      <c r="B8" s="4" t="s">
        <v>6</v>
      </c>
      <c r="C8" s="7">
        <v>1</v>
      </c>
    </row>
    <row r="9" spans="2:3" x14ac:dyDescent="0.25">
      <c r="B9" s="4" t="s">
        <v>7</v>
      </c>
      <c r="C9" s="5">
        <v>50</v>
      </c>
    </row>
    <row r="10" spans="2:3" x14ac:dyDescent="0.25">
      <c r="B10" s="4" t="s">
        <v>8</v>
      </c>
      <c r="C10" s="5">
        <v>150</v>
      </c>
    </row>
    <row r="11" spans="2:3" x14ac:dyDescent="0.25">
      <c r="B11" s="4" t="s">
        <v>9</v>
      </c>
      <c r="C11" s="5">
        <v>150000</v>
      </c>
    </row>
    <row r="12" spans="2:3" x14ac:dyDescent="0.25">
      <c r="B12" s="4" t="s">
        <v>10</v>
      </c>
      <c r="C12" s="5">
        <v>100000</v>
      </c>
    </row>
    <row r="13" spans="2:3" x14ac:dyDescent="0.25">
      <c r="B13" s="4" t="s">
        <v>11</v>
      </c>
      <c r="C13" s="5">
        <v>200000</v>
      </c>
    </row>
    <row r="14" spans="2:3" x14ac:dyDescent="0.25">
      <c r="B14" s="4" t="s">
        <v>12</v>
      </c>
      <c r="C14" s="7">
        <v>0.015</v>
      </c>
    </row>
    <row r="16" spans="2:2" x14ac:dyDescent="0.25">
      <c r="B16" s="3" t="s">
        <v>13</v>
      </c>
    </row>
    <row r="17" spans="2:5" x14ac:dyDescent="0.25">
      <c r="B17" s="8" t="s">
        <v>14</v>
      </c>
      <c r="C17" s="9" t="s">
        <v>15</v>
      </c>
      <c r="D17" s="9" t="s">
        <v>16</v>
      </c>
      <c r="E17" s="8" t="s">
        <v>17</v>
      </c>
    </row>
    <row r="18" spans="2:5" x14ac:dyDescent="0.25">
      <c r="B18" s="4" t="s">
        <v>18</v>
      </c>
      <c r="C18" s="10">
        <f>C6*C7*C8*C9</f>
      </c>
      <c r="D18" s="11">
        <f>C18/C$5</f>
      </c>
      <c r="E18" s="12">
        <f>ROUND(C6*C7*C8,0)&amp;" msg × "&amp;TEXT(C9,"#,##0")&amp;" GNF"</f>
      </c>
    </row>
    <row r="19" spans="2:5" x14ac:dyDescent="0.25">
      <c r="B19" s="4" t="s">
        <v>19</v>
      </c>
      <c r="C19" s="10">
        <f>C6*C7*(1-C8)*C10</f>
      </c>
      <c r="D19" s="11">
        <f>C19/C$5</f>
      </c>
      <c r="E19" s="12">
        <f>ROUND(C6*C7*(1-C8),0)&amp;" SMS × "&amp;TEXT(C10,"#,##0")&amp;" GNF"</f>
      </c>
    </row>
    <row r="20" spans="2:5" x14ac:dyDescent="0.25">
      <c r="B20" s="4" t="s">
        <v>20</v>
      </c>
      <c r="C20" s="10">
        <f>C11</f>
      </c>
      <c r="D20" s="11">
        <f>C20/C$5</f>
      </c>
      <c r="E20" s="12" t="s">
        <v>21</v>
      </c>
    </row>
    <row r="21" spans="2:5" x14ac:dyDescent="0.25">
      <c r="B21" s="4" t="s">
        <v>22</v>
      </c>
      <c r="C21" s="10">
        <f>C12</f>
      </c>
      <c r="D21" s="11">
        <f>C21/C$5</f>
      </c>
      <c r="E21" s="12" t="s">
        <v>23</v>
      </c>
    </row>
    <row r="22" spans="2:5" x14ac:dyDescent="0.25">
      <c r="B22" s="4" t="s">
        <v>24</v>
      </c>
      <c r="C22" s="10">
        <f>C13</f>
      </c>
      <c r="D22" s="11">
        <f>C22/C$5</f>
      </c>
      <c r="E22" s="12" t="s">
        <v>25</v>
      </c>
    </row>
    <row r="23" spans="2:5" x14ac:dyDescent="0.25">
      <c r="B23" s="4" t="s">
        <v>26</v>
      </c>
      <c r="C23" s="10">
        <f>C5*C14</f>
      </c>
      <c r="D23" s="11">
        <f>C23/C$5</f>
      </c>
      <c r="E23" s="12">
        <f>"Orange Money "&amp;TEXT(C14,"0.0%")&amp;" sur l'encaissement"</f>
      </c>
    </row>
    <row r="24" spans="2:5" x14ac:dyDescent="0.25">
      <c r="B24" s="13" t="s">
        <v>27</v>
      </c>
      <c r="C24" s="14">
        <f>SUM(C18:C23)</f>
      </c>
      <c r="D24" s="15">
        <f>C24/C$5</f>
      </c>
      <c r="E24" s="16"/>
    </row>
    <row r="26" spans="2:4" x14ac:dyDescent="0.25">
      <c r="B26" s="4" t="s">
        <v>28</v>
      </c>
      <c r="C26" s="10">
        <f>C5</f>
      </c>
      <c r="D26" s="11">
        <f>1</f>
      </c>
    </row>
    <row r="27" spans="2:4" x14ac:dyDescent="0.25">
      <c r="B27" s="17" t="s">
        <v>29</v>
      </c>
      <c r="C27" s="18">
        <f>C5-C24</f>
      </c>
      <c r="D27" s="19">
        <f>C27/C$5</f>
      </c>
    </row>
    <row r="28" spans="2:3" x14ac:dyDescent="0.25">
      <c r="B28" s="4" t="s">
        <v>30</v>
      </c>
      <c r="C28" s="20">
        <f>C27/C5</f>
      </c>
    </row>
    <row r="30" spans="2:2" x14ac:dyDescent="0.25">
      <c r="B30" s="3" t="s">
        <v>31</v>
      </c>
    </row>
    <row r="31" spans="2:3" x14ac:dyDescent="0.25">
      <c r="B31" s="4" t="s">
        <v>32</v>
      </c>
      <c r="C31" s="21">
        <f>C6*C7</f>
      </c>
    </row>
    <row r="32" spans="2:3" x14ac:dyDescent="0.25">
      <c r="B32" s="4" t="s">
        <v>33</v>
      </c>
      <c r="C32" s="21">
        <f>ROUND(C6*C7*C8,0)</f>
      </c>
    </row>
    <row r="33" spans="2:3" x14ac:dyDescent="0.25">
      <c r="B33" s="4" t="s">
        <v>34</v>
      </c>
      <c r="C33" s="21">
        <f>ROUND(C6*C7*(1-C8),0)</f>
      </c>
    </row>
    <row r="35" spans="2:2" x14ac:dyDescent="0.25">
      <c r="B35" s="3" t="s">
        <v>35</v>
      </c>
    </row>
    <row r="36" spans="2:5" x14ac:dyDescent="0.25">
      <c r="B36" s="22" t="s">
        <v>36</v>
      </c>
      <c r="C36" s="23" t="s">
        <v>37</v>
      </c>
      <c r="D36" s="23" t="s">
        <v>38</v>
      </c>
      <c r="E36" s="23" t="s">
        <v>39</v>
      </c>
    </row>
    <row r="37" spans="2:5" x14ac:dyDescent="0.25">
      <c r="B37" t="s">
        <v>40</v>
      </c>
      <c r="C37" s="10">
        <f>C6*C7*C9</f>
      </c>
      <c r="D37" s="10">
        <f>C5-(C37+C11+C12+C13+C5*C14)</f>
      </c>
      <c r="E37" s="11">
        <f>(C5-(C37+C11+C12+C13+C5*C14))/C5</f>
      </c>
    </row>
    <row r="38" spans="2:5" x14ac:dyDescent="0.25">
      <c r="B38" t="s">
        <v>41</v>
      </c>
      <c r="C38" s="10">
        <f>C18+C19</f>
      </c>
      <c r="D38" s="24">
        <f>C27</f>
      </c>
      <c r="E38" s="20">
        <f>C28</f>
      </c>
    </row>
    <row r="39" spans="2:5" x14ac:dyDescent="0.25">
      <c r="B39" t="s">
        <v>42</v>
      </c>
      <c r="C39" s="10">
        <f>C6*C7*C10</f>
      </c>
      <c r="D39" s="10">
        <f>C5-(C39+C11+C12+C13+C5*C14)</f>
      </c>
      <c r="E39" s="11">
        <f>(C5-(C39+C11+C12+C13+C5*C14))/C5</f>
      </c>
    </row>
    <row r="41" ht="28" customHeight="1" spans="2:5" x14ac:dyDescent="0.25">
      <c r="B41" s="25" t="s">
        <v>43</v>
      </c>
      <c r="C41" s="25"/>
      <c r="D41" s="25"/>
      <c r="E41" s="25"/>
    </row>
    <row r="42" ht="28" customHeight="1" spans="2:5" x14ac:dyDescent="0.25">
      <c r="B42" s="25" t="s">
        <v>44</v>
      </c>
      <c r="C42" s="25"/>
      <c r="D42" s="25"/>
      <c r="E42" s="25"/>
    </row>
  </sheetData>
  <mergeCells count="4">
    <mergeCell ref="B1:E1"/>
    <mergeCell ref="B2:E2"/>
    <mergeCell ref="B41:E41"/>
    <mergeCell ref="B42:E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Modèle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KonaData</dc:creator>
  <dc:title/>
  <dc:subject/>
  <dc:description/>
  <cp:keywords/>
  <cp:category/>
  <cp:lastModifiedBy>Unknown</cp:lastModifiedBy>
  <dcterms:created xsi:type="dcterms:W3CDTF">2026-07-03T11:54:12Z</dcterms:created>
  <dcterms:modified xsi:type="dcterms:W3CDTF">2026-07-03T11:54:12Z</dcterms:modified>
</cp:coreProperties>
</file>